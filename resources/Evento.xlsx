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OOM\Documents\"/>
    </mc:Choice>
  </mc:AlternateContent>
  <xr:revisionPtr revIDLastSave="0" documentId="13_ncr:1_{88F1A730-652F-4A70-B60F-D963C8EAF21B}" xr6:coauthVersionLast="47" xr6:coauthVersionMax="47" xr10:uidLastSave="{00000000-0000-0000-0000-000000000000}"/>
  <bookViews>
    <workbookView xWindow="5055" yWindow="2370" windowWidth="15375" windowHeight="862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24" i="1"/>
  <c r="I23" i="1"/>
  <c r="I20" i="1"/>
  <c r="I19" i="1"/>
  <c r="I7" i="1"/>
  <c r="I9" i="1"/>
  <c r="I10" i="1"/>
  <c r="I15" i="1"/>
  <c r="I5" i="1"/>
  <c r="M5" i="1"/>
  <c r="M6" i="1"/>
  <c r="M7" i="1"/>
  <c r="M8" i="1"/>
  <c r="M9" i="1"/>
  <c r="M10" i="1"/>
  <c r="M11" i="1"/>
  <c r="M12" i="1"/>
  <c r="M13" i="1"/>
  <c r="M14" i="1"/>
  <c r="M15" i="1"/>
  <c r="M4" i="1"/>
  <c r="L6" i="1"/>
  <c r="L7" i="1"/>
  <c r="L8" i="1"/>
  <c r="L9" i="1"/>
  <c r="L10" i="1"/>
  <c r="L11" i="1"/>
  <c r="L12" i="1"/>
  <c r="L13" i="1"/>
  <c r="L14" i="1"/>
  <c r="L15" i="1"/>
  <c r="L5" i="1"/>
  <c r="L4" i="1"/>
  <c r="H5" i="1"/>
  <c r="H6" i="1"/>
  <c r="I6" i="1" s="1"/>
  <c r="H7" i="1"/>
  <c r="H8" i="1"/>
  <c r="I8" i="1" s="1"/>
  <c r="H9" i="1"/>
  <c r="H10" i="1"/>
  <c r="H11" i="1"/>
  <c r="I11" i="1" s="1"/>
  <c r="H12" i="1"/>
  <c r="I12" i="1" s="1"/>
  <c r="H13" i="1"/>
  <c r="I13" i="1" s="1"/>
  <c r="H14" i="1"/>
  <c r="I14" i="1" s="1"/>
  <c r="H15" i="1"/>
  <c r="H4" i="1"/>
  <c r="J4" i="1" s="1"/>
  <c r="I22" i="1" l="1"/>
  <c r="I21" i="1"/>
  <c r="I4" i="1"/>
  <c r="I17" i="1" s="1"/>
  <c r="K12" i="1"/>
  <c r="K13" i="1"/>
  <c r="K9" i="1"/>
  <c r="K15" i="1"/>
  <c r="K11" i="1"/>
  <c r="K7" i="1"/>
  <c r="K8" i="1"/>
  <c r="K14" i="1"/>
  <c r="K10" i="1"/>
  <c r="K6" i="1"/>
  <c r="K5" i="1"/>
  <c r="K4" i="1"/>
  <c r="J9" i="1"/>
  <c r="J8" i="1"/>
  <c r="J12" i="1"/>
  <c r="J13" i="1"/>
  <c r="J6" i="1"/>
  <c r="J10" i="1"/>
  <c r="J14" i="1"/>
  <c r="J5" i="1"/>
  <c r="J7" i="1"/>
  <c r="J11" i="1"/>
  <c r="J15" i="1"/>
</calcChain>
</file>

<file path=xl/sharedStrings.xml><?xml version="1.0" encoding="utf-8"?>
<sst xmlns="http://schemas.openxmlformats.org/spreadsheetml/2006/main" count="82" uniqueCount="51">
  <si>
    <t>fechaNacimiento</t>
  </si>
  <si>
    <t>get edad()</t>
  </si>
  <si>
    <t>nombre</t>
  </si>
  <si>
    <t>apellido</t>
  </si>
  <si>
    <t>cedula</t>
  </si>
  <si>
    <t>sexo</t>
  </si>
  <si>
    <t>Martínez</t>
  </si>
  <si>
    <t>M</t>
  </si>
  <si>
    <t>Carlos</t>
  </si>
  <si>
    <t>García</t>
  </si>
  <si>
    <t>F</t>
  </si>
  <si>
    <t>Gustavo</t>
  </si>
  <si>
    <t>González</t>
  </si>
  <si>
    <t>Torres</t>
  </si>
  <si>
    <t>Sebastián</t>
  </si>
  <si>
    <t>Díaz</t>
  </si>
  <si>
    <t>tipoEntrada</t>
  </si>
  <si>
    <t>VIP</t>
  </si>
  <si>
    <t>Regular</t>
  </si>
  <si>
    <t>precioEntrada()</t>
  </si>
  <si>
    <t>prctMenores()</t>
  </si>
  <si>
    <t>prctMayores()</t>
  </si>
  <si>
    <t>prctRegulares()</t>
  </si>
  <si>
    <t>prctVIP()</t>
  </si>
  <si>
    <t>Andrés</t>
  </si>
  <si>
    <t>Estudiante</t>
  </si>
  <si>
    <t>No Estudiante</t>
  </si>
  <si>
    <t>Miguel</t>
  </si>
  <si>
    <t>Alejandra</t>
  </si>
  <si>
    <t>Pablo</t>
  </si>
  <si>
    <t>Ana</t>
  </si>
  <si>
    <t>Carrasco</t>
  </si>
  <si>
    <t>Castillo</t>
  </si>
  <si>
    <t>Laura</t>
  </si>
  <si>
    <t>Alvarado</t>
  </si>
  <si>
    <t>Sofía</t>
  </si>
  <si>
    <t>Muñoz</t>
  </si>
  <si>
    <t>Diego</t>
  </si>
  <si>
    <t>Rodríguez</t>
  </si>
  <si>
    <t>Valeria</t>
  </si>
  <si>
    <t>Morales</t>
  </si>
  <si>
    <t>Evento</t>
  </si>
  <si>
    <t>Porcentaje de asistentes menores de edad:</t>
  </si>
  <si>
    <t>Porcentaje de asistentes mayores de edad:</t>
  </si>
  <si>
    <t>Porcentaje de asistentes regulares:</t>
  </si>
  <si>
    <t>Porcentaje de asistentes VIP:</t>
  </si>
  <si>
    <t>Total de asistentes regulares:</t>
  </si>
  <si>
    <t>Total de asistentes VIP:</t>
  </si>
  <si>
    <t>Total de asistentes:</t>
  </si>
  <si>
    <t>Total de ingresos:</t>
  </si>
  <si>
    <t>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</si>
</sst>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2" fillId="2" borderId="0" xfId="0" applyFon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0" fontId="0" fillId="3" borderId="2" xfId="1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4" fillId="0" borderId="0" xfId="0" applyFont="1"/>
    <xf numFmtId="0" fontId="0" fillId="3" borderId="1" xfId="0" applyFill="1" applyBorder="1"/>
    <xf numFmtId="0" fontId="0" fillId="0" borderId="1" xfId="0" applyBorder="1"/>
    <xf numFmtId="0" fontId="5" fillId="3" borderId="4" xfId="0" applyFont="1" applyFill="1" applyBorder="1"/>
    <xf numFmtId="0" fontId="0" fillId="3" borderId="4" xfId="0" applyFill="1" applyBorder="1" applyAlignment="1">
      <alignment horizontal="center"/>
    </xf>
    <xf numFmtId="0" fontId="0" fillId="0" borderId="5" xfId="0" applyBorder="1"/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0" fontId="0" fillId="4" borderId="2" xfId="1" applyNumberFormat="1" applyFont="1" applyFill="1" applyBorder="1" applyAlignment="1">
      <alignment horizontal="center"/>
    </xf>
    <xf numFmtId="10" fontId="0" fillId="4" borderId="3" xfId="1" applyNumberFormat="1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3" borderId="0" xfId="1" applyNumberFormat="1" applyFont="1" applyFill="1" applyAlignment="1">
      <alignment horizontal="center"/>
    </xf>
    <xf numFmtId="10" fontId="0" fillId="4" borderId="0" xfId="1" applyNumberFormat="1" applyFont="1" applyFill="1" applyAlignment="1">
      <alignment horizontal="center"/>
    </xf>
    <xf numFmtId="16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3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DBBC0-E42B-457D-B111-1876D6FE7C76}" name="Table1" displayName="Table1" ref="A3:A15" totalsRowShown="0" headerRowDxfId="2" tableBorderDxfId="1">
  <autoFilter ref="A3:A15" xr:uid="{277DBBC0-E42B-457D-B111-1876D6FE7C76}"/>
  <tableColumns count="1">
    <tableColumn id="1" xr3:uid="{78DB9813-1F11-44EF-B71F-89BADD3BEACA}" name="no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="80" zoomScaleNormal="80" workbookViewId="0">
      <selection activeCell="L18" sqref="L18"/>
    </sheetView>
  </sheetViews>
  <sheetFormatPr defaultRowHeight="15" x14ac:dyDescent="0.25"/>
  <cols>
    <col min="1" max="1" width="9.7109375" customWidth="1"/>
    <col min="2" max="2" width="10.28515625" customWidth="1"/>
    <col min="4" max="4" width="6.5703125" customWidth="1"/>
    <col min="5" max="5" width="18.7109375" customWidth="1"/>
    <col min="6" max="6" width="13.28515625" customWidth="1"/>
    <col min="7" max="7" width="13.7109375" customWidth="1"/>
    <col min="8" max="8" width="11.5703125" customWidth="1"/>
    <col min="9" max="9" width="16.140625" customWidth="1"/>
    <col min="10" max="10" width="15.28515625" customWidth="1"/>
    <col min="11" max="11" width="15.140625" customWidth="1"/>
    <col min="12" max="12" width="16.5703125" customWidth="1"/>
  </cols>
  <sheetData>
    <row r="1" spans="1:13" ht="18.75" x14ac:dyDescent="0.3">
      <c r="A1" s="15" t="s">
        <v>41</v>
      </c>
      <c r="D1" s="15"/>
      <c r="E1" s="1"/>
    </row>
    <row r="3" spans="1:1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0</v>
      </c>
      <c r="F3" s="2" t="s">
        <v>16</v>
      </c>
      <c r="G3" s="33" t="s">
        <v>50</v>
      </c>
      <c r="H3" s="2" t="s">
        <v>1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25">
      <c r="A4" s="16" t="s">
        <v>24</v>
      </c>
      <c r="B4" s="16" t="s">
        <v>13</v>
      </c>
      <c r="C4" s="4">
        <v>111</v>
      </c>
      <c r="D4" s="4" t="s">
        <v>7</v>
      </c>
      <c r="E4" s="3">
        <v>39860</v>
      </c>
      <c r="F4" s="4" t="s">
        <v>18</v>
      </c>
      <c r="G4" s="5" t="s">
        <v>25</v>
      </c>
      <c r="H4" s="5">
        <f ca="1">DATEDIF(E4, TODAY(), "y")</f>
        <v>17</v>
      </c>
      <c r="I4" s="25">
        <f ca="1">IF(F4="Regular", IF(AND(G4="Estudiante", H4&lt;18), 5, 10), IF(D4="F", 25, 30))</f>
        <v>5</v>
      </c>
      <c r="J4" s="28">
        <f ca="1">COUNTIF($H$4:$H4, "&lt;18") / ROWS($H$4:$H4)</f>
        <v>1</v>
      </c>
      <c r="K4" s="6">
        <f ca="1">COUNTIF($H$4:$H4, "&gt;18") / ROWS($H$4:$H4)</f>
        <v>0</v>
      </c>
      <c r="L4" s="6">
        <f>COUNTIF($F$4:$F4, "Regular") / ROWS($F$4:$F4)</f>
        <v>1</v>
      </c>
      <c r="M4" s="6">
        <f>COUNTIF($F$4:$F4, "VIP") / ROWS($F$4:$F4)</f>
        <v>0</v>
      </c>
    </row>
    <row r="5" spans="1:13" x14ac:dyDescent="0.25">
      <c r="A5" s="17" t="s">
        <v>8</v>
      </c>
      <c r="B5" s="17" t="s">
        <v>9</v>
      </c>
      <c r="C5" s="8">
        <v>222</v>
      </c>
      <c r="D5" s="8" t="s">
        <v>7</v>
      </c>
      <c r="E5" s="7">
        <v>18924</v>
      </c>
      <c r="F5" s="8" t="s">
        <v>17</v>
      </c>
      <c r="G5" s="9" t="s">
        <v>26</v>
      </c>
      <c r="H5" s="22">
        <f t="shared" ref="H5:H15" ca="1" si="0">DATEDIF(E5, TODAY(), "y")</f>
        <v>74</v>
      </c>
      <c r="I5" s="26">
        <f>IF(F5="Regular", IF(AND(G5="Estudiante", H5&lt;18), 5, 10), IF(D5="F", 25, 30))</f>
        <v>30</v>
      </c>
      <c r="J5" s="29">
        <f ca="1">COUNTIF($H$4:$H5, "&lt;18") / ROWS($H$4:$H5)</f>
        <v>0.5</v>
      </c>
      <c r="K5" s="10">
        <f ca="1">COUNTIF($H$4:$H5, "&gt;18") / ROWS($H$4:$H5)</f>
        <v>0.5</v>
      </c>
      <c r="L5" s="23">
        <f>COUNTIF($F$4:$F5, "Regular") / ROWS($F$4:$F5)</f>
        <v>0.5</v>
      </c>
      <c r="M5" s="23">
        <f>COUNTIF($F$4:$F5, "VIP") / ROWS($F$4:$F5)</f>
        <v>0.5</v>
      </c>
    </row>
    <row r="6" spans="1:13" x14ac:dyDescent="0.25">
      <c r="A6" s="16" t="s">
        <v>27</v>
      </c>
      <c r="B6" s="16" t="s">
        <v>13</v>
      </c>
      <c r="C6" s="4">
        <v>333</v>
      </c>
      <c r="D6" s="4" t="s">
        <v>7</v>
      </c>
      <c r="E6" s="3">
        <v>33731</v>
      </c>
      <c r="F6" s="4" t="s">
        <v>18</v>
      </c>
      <c r="G6" s="5" t="s">
        <v>26</v>
      </c>
      <c r="H6" s="5">
        <f t="shared" ca="1" si="0"/>
        <v>33</v>
      </c>
      <c r="I6" s="25">
        <f t="shared" ref="I6:I15" ca="1" si="1">IF(F6="Regular", IF(AND(G6="Estudiante", H6&lt;18), 5, 10), IF(D6="F", 25, 30))</f>
        <v>10</v>
      </c>
      <c r="J6" s="28">
        <f ca="1">COUNTIF($H$4:$H6, "&lt;18") / ROWS($H$4:$H6)</f>
        <v>0.33333333333333331</v>
      </c>
      <c r="K6" s="6">
        <f ca="1">COUNTIF($H$4:$H6, "&gt;18") / ROWS($H$4:$H6)</f>
        <v>0.66666666666666663</v>
      </c>
      <c r="L6" s="6">
        <f>COUNTIF($F$4:$F6, "Regular") / ROWS($F$4:$F6)</f>
        <v>0.66666666666666663</v>
      </c>
      <c r="M6" s="6">
        <f>COUNTIF($F$4:$F6, "VIP") / ROWS($F$4:$F6)</f>
        <v>0.33333333333333331</v>
      </c>
    </row>
    <row r="7" spans="1:13" x14ac:dyDescent="0.25">
      <c r="A7" s="17" t="s">
        <v>28</v>
      </c>
      <c r="B7" s="17" t="s">
        <v>6</v>
      </c>
      <c r="C7" s="8">
        <v>444</v>
      </c>
      <c r="D7" s="8" t="s">
        <v>10</v>
      </c>
      <c r="E7" s="7">
        <v>37863</v>
      </c>
      <c r="F7" s="8" t="s">
        <v>17</v>
      </c>
      <c r="G7" s="9" t="s">
        <v>25</v>
      </c>
      <c r="H7" s="22">
        <f t="shared" ca="1" si="0"/>
        <v>22</v>
      </c>
      <c r="I7" s="26">
        <f t="shared" si="1"/>
        <v>25</v>
      </c>
      <c r="J7" s="29">
        <f ca="1">COUNTIF($H$4:$H7, "&lt;18") / ROWS($H$4:$H7)</f>
        <v>0.25</v>
      </c>
      <c r="K7" s="10">
        <f ca="1">COUNTIF($H$4:$H7, "&gt;18") / ROWS($H$4:$H7)</f>
        <v>0.75</v>
      </c>
      <c r="L7" s="23">
        <f>COUNTIF($F$4:$F7, "Regular") / ROWS($F$4:$F7)</f>
        <v>0.5</v>
      </c>
      <c r="M7" s="23">
        <f>COUNTIF($F$4:$F7, "VIP") / ROWS($F$4:$F7)</f>
        <v>0.5</v>
      </c>
    </row>
    <row r="8" spans="1:13" x14ac:dyDescent="0.25">
      <c r="A8" s="16" t="s">
        <v>29</v>
      </c>
      <c r="B8" s="16" t="s">
        <v>15</v>
      </c>
      <c r="C8" s="4">
        <v>555</v>
      </c>
      <c r="D8" s="4" t="s">
        <v>7</v>
      </c>
      <c r="E8" s="3">
        <v>36359</v>
      </c>
      <c r="F8" s="4" t="s">
        <v>18</v>
      </c>
      <c r="G8" s="5" t="s">
        <v>26</v>
      </c>
      <c r="H8" s="5">
        <f t="shared" ca="1" si="0"/>
        <v>26</v>
      </c>
      <c r="I8" s="25">
        <f t="shared" ca="1" si="1"/>
        <v>10</v>
      </c>
      <c r="J8" s="28">
        <f ca="1">COUNTIF($H$4:$H8, "&lt;18") / ROWS($H$4:$H8)</f>
        <v>0.2</v>
      </c>
      <c r="K8" s="6">
        <f ca="1">COUNTIF($H$4:$H8, "&gt;18") / ROWS($H$4:$H8)</f>
        <v>0.8</v>
      </c>
      <c r="L8" s="6">
        <f>COUNTIF($F$4:$F8, "Regular") / ROWS($F$4:$F8)</f>
        <v>0.6</v>
      </c>
      <c r="M8" s="6">
        <f>COUNTIF($F$4:$F8, "VIP") / ROWS($F$4:$F8)</f>
        <v>0.4</v>
      </c>
    </row>
    <row r="9" spans="1:13" x14ac:dyDescent="0.25">
      <c r="A9" s="17" t="s">
        <v>11</v>
      </c>
      <c r="B9" s="17" t="s">
        <v>12</v>
      </c>
      <c r="C9" s="8">
        <v>666</v>
      </c>
      <c r="D9" s="8" t="s">
        <v>7</v>
      </c>
      <c r="E9" s="7">
        <v>38943</v>
      </c>
      <c r="F9" s="8" t="s">
        <v>17</v>
      </c>
      <c r="G9" s="9" t="s">
        <v>25</v>
      </c>
      <c r="H9" s="22">
        <f t="shared" ca="1" si="0"/>
        <v>19</v>
      </c>
      <c r="I9" s="26">
        <f t="shared" si="1"/>
        <v>30</v>
      </c>
      <c r="J9" s="29">
        <f ca="1">COUNTIF($H$4:$H9, "&lt;18") / ROWS($H$4:$H9)</f>
        <v>0.16666666666666666</v>
      </c>
      <c r="K9" s="10">
        <f ca="1">COUNTIF($H$4:$H9, "&gt;18") / ROWS($H$4:$H9)</f>
        <v>0.83333333333333337</v>
      </c>
      <c r="L9" s="23">
        <f>COUNTIF($F$4:$F9, "Regular") / ROWS($F$4:$F9)</f>
        <v>0.5</v>
      </c>
      <c r="M9" s="23">
        <f>COUNTIF($F$4:$F9, "VIP") / ROWS($F$4:$F9)</f>
        <v>0.5</v>
      </c>
    </row>
    <row r="10" spans="1:13" x14ac:dyDescent="0.25">
      <c r="A10" s="16" t="s">
        <v>30</v>
      </c>
      <c r="B10" s="16" t="s">
        <v>31</v>
      </c>
      <c r="C10" s="4">
        <v>777</v>
      </c>
      <c r="D10" s="4" t="s">
        <v>10</v>
      </c>
      <c r="E10" s="3">
        <v>33210</v>
      </c>
      <c r="F10" s="4" t="s">
        <v>17</v>
      </c>
      <c r="G10" s="5" t="s">
        <v>26</v>
      </c>
      <c r="H10" s="5">
        <f t="shared" ca="1" si="0"/>
        <v>35</v>
      </c>
      <c r="I10" s="25">
        <f t="shared" si="1"/>
        <v>25</v>
      </c>
      <c r="J10" s="28">
        <f ca="1">COUNTIF($H$4:$H10, "&lt;18") / ROWS($H$4:$H10)</f>
        <v>0.14285714285714285</v>
      </c>
      <c r="K10" s="6">
        <f ca="1">COUNTIF($H$4:$H10, "&gt;18") / ROWS($H$4:$H10)</f>
        <v>0.8571428571428571</v>
      </c>
      <c r="L10" s="6">
        <f>COUNTIF($F$4:$F10, "Regular") / ROWS($F$4:$F10)</f>
        <v>0.42857142857142855</v>
      </c>
      <c r="M10" s="6">
        <f>COUNTIF($F$4:$F10, "VIP") / ROWS($F$4:$F10)</f>
        <v>0.5714285714285714</v>
      </c>
    </row>
    <row r="11" spans="1:13" x14ac:dyDescent="0.25">
      <c r="A11" s="17" t="s">
        <v>14</v>
      </c>
      <c r="B11" s="17" t="s">
        <v>32</v>
      </c>
      <c r="C11" s="8">
        <v>888</v>
      </c>
      <c r="D11" s="8" t="s">
        <v>7</v>
      </c>
      <c r="E11" s="7">
        <v>38451</v>
      </c>
      <c r="F11" s="8" t="s">
        <v>18</v>
      </c>
      <c r="G11" s="9" t="s">
        <v>26</v>
      </c>
      <c r="H11" s="22">
        <f t="shared" ca="1" si="0"/>
        <v>21</v>
      </c>
      <c r="I11" s="26">
        <f t="shared" ca="1" si="1"/>
        <v>10</v>
      </c>
      <c r="J11" s="29">
        <f ca="1">COUNTIF($H$4:$H11, "&lt;18") / ROWS($H$4:$H11)</f>
        <v>0.125</v>
      </c>
      <c r="K11" s="10">
        <f ca="1">COUNTIF($H$4:$H11, "&gt;18") / ROWS($H$4:$H11)</f>
        <v>0.875</v>
      </c>
      <c r="L11" s="23">
        <f>COUNTIF($F$4:$F11, "Regular") / ROWS($F$4:$F11)</f>
        <v>0.5</v>
      </c>
      <c r="M11" s="23">
        <f>COUNTIF($F$4:$F11, "VIP") / ROWS($F$4:$F11)</f>
        <v>0.5</v>
      </c>
    </row>
    <row r="12" spans="1:13" x14ac:dyDescent="0.25">
      <c r="A12" s="16" t="s">
        <v>33</v>
      </c>
      <c r="B12" s="16" t="s">
        <v>34</v>
      </c>
      <c r="C12" s="4">
        <v>999</v>
      </c>
      <c r="D12" s="4" t="s">
        <v>10</v>
      </c>
      <c r="E12" s="3">
        <v>40248</v>
      </c>
      <c r="F12" s="4" t="s">
        <v>18</v>
      </c>
      <c r="G12" s="5" t="s">
        <v>25</v>
      </c>
      <c r="H12" s="5">
        <f t="shared" ca="1" si="0"/>
        <v>16</v>
      </c>
      <c r="I12" s="25">
        <f t="shared" ca="1" si="1"/>
        <v>5</v>
      </c>
      <c r="J12" s="28">
        <f ca="1">COUNTIF($H$4:$H12, "&lt;18") / ROWS($H$4:$H12)</f>
        <v>0.22222222222222221</v>
      </c>
      <c r="K12" s="6">
        <f ca="1">COUNTIF($H$4:$H12, "&gt;18") / ROWS($H$4:$H12)</f>
        <v>0.77777777777777779</v>
      </c>
      <c r="L12" s="6">
        <f>COUNTIF($F$4:$F12, "Regular") / ROWS($F$4:$F12)</f>
        <v>0.55555555555555558</v>
      </c>
      <c r="M12" s="6">
        <f>COUNTIF($F$4:$F12, "VIP") / ROWS($F$4:$F12)</f>
        <v>0.44444444444444442</v>
      </c>
    </row>
    <row r="13" spans="1:13" x14ac:dyDescent="0.25">
      <c r="A13" s="17" t="s">
        <v>35</v>
      </c>
      <c r="B13" s="17" t="s">
        <v>36</v>
      </c>
      <c r="C13" s="9">
        <v>1000</v>
      </c>
      <c r="D13" s="9" t="s">
        <v>10</v>
      </c>
      <c r="E13" s="7">
        <v>37200</v>
      </c>
      <c r="F13" s="9" t="s">
        <v>18</v>
      </c>
      <c r="G13" s="9" t="s">
        <v>26</v>
      </c>
      <c r="H13" s="22">
        <f t="shared" ca="1" si="0"/>
        <v>24</v>
      </c>
      <c r="I13" s="26">
        <f t="shared" ca="1" si="1"/>
        <v>10</v>
      </c>
      <c r="J13" s="29">
        <f ca="1">COUNTIF($H$4:$H13, "&lt;18") / ROWS($H$4:$H13)</f>
        <v>0.2</v>
      </c>
      <c r="K13" s="10">
        <f ca="1">COUNTIF($H$4:$H13, "&gt;18") / ROWS($H$4:$H13)</f>
        <v>0.8</v>
      </c>
      <c r="L13" s="23">
        <f>COUNTIF($F$4:$F13, "Regular") / ROWS($F$4:$F13)</f>
        <v>0.6</v>
      </c>
      <c r="M13" s="23">
        <f>COUNTIF($F$4:$F13, "VIP") / ROWS($F$4:$F13)</f>
        <v>0.4</v>
      </c>
    </row>
    <row r="14" spans="1:13" x14ac:dyDescent="0.25">
      <c r="A14" s="16" t="s">
        <v>37</v>
      </c>
      <c r="B14" s="18" t="s">
        <v>38</v>
      </c>
      <c r="C14" s="19">
        <v>1111</v>
      </c>
      <c r="D14" s="19" t="s">
        <v>7</v>
      </c>
      <c r="E14" s="11">
        <v>35821</v>
      </c>
      <c r="F14" s="4" t="s">
        <v>18</v>
      </c>
      <c r="G14" s="5" t="s">
        <v>26</v>
      </c>
      <c r="H14" s="5">
        <f t="shared" ca="1" si="0"/>
        <v>28</v>
      </c>
      <c r="I14" s="25">
        <f t="shared" ca="1" si="1"/>
        <v>10</v>
      </c>
      <c r="J14" s="28">
        <f ca="1">COUNTIF($H$4:$H14, "&lt;18") / ROWS($H$4:$H14)</f>
        <v>0.18181818181818182</v>
      </c>
      <c r="K14" s="6">
        <f ca="1">COUNTIF($H$4:$H14, "&gt;18") / ROWS($H$4:$H14)</f>
        <v>0.81818181818181823</v>
      </c>
      <c r="L14" s="6">
        <f>COUNTIF($F$4:$F14, "Regular") / ROWS($F$4:$F14)</f>
        <v>0.63636363636363635</v>
      </c>
      <c r="M14" s="6">
        <f>COUNTIF($F$4:$F14, "VIP") / ROWS($F$4:$F14)</f>
        <v>0.36363636363636365</v>
      </c>
    </row>
    <row r="15" spans="1:13" x14ac:dyDescent="0.25">
      <c r="A15" s="17" t="s">
        <v>39</v>
      </c>
      <c r="B15" s="20" t="s">
        <v>40</v>
      </c>
      <c r="C15" s="13">
        <v>2222</v>
      </c>
      <c r="D15" s="13" t="s">
        <v>10</v>
      </c>
      <c r="E15" s="12">
        <v>37145</v>
      </c>
      <c r="F15" s="13" t="s">
        <v>17</v>
      </c>
      <c r="G15" s="13" t="s">
        <v>26</v>
      </c>
      <c r="H15" s="21">
        <f t="shared" ca="1" si="0"/>
        <v>24</v>
      </c>
      <c r="I15" s="27">
        <f t="shared" si="1"/>
        <v>25</v>
      </c>
      <c r="J15" s="24">
        <f ca="1">COUNTIF($H$4:$H15, "&lt;18") / ROWS($H$4:$H15)</f>
        <v>0.16666666666666666</v>
      </c>
      <c r="K15" s="14">
        <f ca="1">COUNTIF($H$4:$H15, "&gt;18") / ROWS($H$4:$H15)</f>
        <v>0.83333333333333337</v>
      </c>
      <c r="L15" s="24">
        <f>COUNTIF($F$4:$F15, "Regular") / ROWS($F$4:$F15)</f>
        <v>0.58333333333333337</v>
      </c>
      <c r="M15" s="24">
        <f>COUNTIF($F$4:$F15, "VIP") / ROWS($F$4:$F15)</f>
        <v>0.41666666666666669</v>
      </c>
    </row>
    <row r="17" spans="5:9" x14ac:dyDescent="0.25">
      <c r="E17" t="s">
        <v>49</v>
      </c>
      <c r="I17" s="30">
        <f ca="1">SUM(I4:I15)</f>
        <v>195</v>
      </c>
    </row>
    <row r="18" spans="5:9" x14ac:dyDescent="0.25">
      <c r="E18" t="s">
        <v>48</v>
      </c>
      <c r="I18">
        <f>COUNTA(A4:A15)</f>
        <v>12</v>
      </c>
    </row>
    <row r="19" spans="5:9" x14ac:dyDescent="0.25">
      <c r="E19" t="s">
        <v>47</v>
      </c>
      <c r="I19">
        <f>COUNTIF(F4:F100,"VIP")</f>
        <v>5</v>
      </c>
    </row>
    <row r="20" spans="5:9" x14ac:dyDescent="0.25">
      <c r="E20" t="s">
        <v>46</v>
      </c>
      <c r="I20">
        <f>COUNTIF(F4:F100,"Regular")</f>
        <v>7</v>
      </c>
    </row>
    <row r="21" spans="5:9" x14ac:dyDescent="0.25">
      <c r="E21" t="s">
        <v>42</v>
      </c>
      <c r="I21" s="31">
        <f ca="1">COUNTIF($H$4:$H15, "&lt;18") / ROWS($H$4:$H15)</f>
        <v>0.16666666666666666</v>
      </c>
    </row>
    <row r="22" spans="5:9" x14ac:dyDescent="0.25">
      <c r="E22" t="s">
        <v>43</v>
      </c>
      <c r="I22" s="31">
        <f ca="1">COUNTIF($H$4:$H15, "&gt;18") / ROWS($H$4:$H15)</f>
        <v>0.83333333333333337</v>
      </c>
    </row>
    <row r="23" spans="5:9" x14ac:dyDescent="0.25">
      <c r="E23" t="s">
        <v>44</v>
      </c>
      <c r="I23" s="32">
        <f>COUNTIF($F$4:$F15, "Regular") / ROWS($F$4:$F15)</f>
        <v>0.58333333333333337</v>
      </c>
    </row>
    <row r="24" spans="5:9" x14ac:dyDescent="0.25">
      <c r="E24" t="s">
        <v>45</v>
      </c>
      <c r="I24" s="32">
        <f>COUNTIF($F$4:$F15, "VIP") / ROWS($F$4:$F15)</f>
        <v>0.41666666666666669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</dc:creator>
  <cp:lastModifiedBy>BOOM</cp:lastModifiedBy>
  <dcterms:created xsi:type="dcterms:W3CDTF">2015-06-05T18:17:20Z</dcterms:created>
  <dcterms:modified xsi:type="dcterms:W3CDTF">2026-04-30T06:35:36Z</dcterms:modified>
</cp:coreProperties>
</file>